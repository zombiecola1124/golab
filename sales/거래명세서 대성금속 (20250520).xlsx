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고랩\회사\GL\2025\20250519 (34)\"/>
    </mc:Choice>
  </mc:AlternateContent>
  <xr:revisionPtr revIDLastSave="0" documentId="13_ncr:1_{79B4F20C-E672-438F-AFA0-6B55287C1D35}" xr6:coauthVersionLast="47" xr6:coauthVersionMax="47" xr10:uidLastSave="{00000000-0000-0000-0000-000000000000}"/>
  <bookViews>
    <workbookView xWindow="28460" yWindow="3870" windowWidth="31250" windowHeight="15260" activeTab="1" xr2:uid="{00000000-000D-0000-FFFF-FFFF00000000}"/>
  </bookViews>
  <sheets>
    <sheet name="공급자" sheetId="4" r:id="rId1"/>
    <sheet name="공급받는자" sheetId="1" r:id="rId2"/>
    <sheet name="Sheet2" sheetId="2" r:id="rId3"/>
  </sheets>
  <definedNames>
    <definedName name="_xlnm.Print_Area" localSheetId="1">공급받는자!$A$1:$I$27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G10" i="1" l="1"/>
  <c r="I10" i="1" s="1"/>
  <c r="A4" i="4" l="1"/>
  <c r="A2" i="4"/>
  <c r="A10" i="4" s="1"/>
  <c r="A10" i="1"/>
  <c r="F26" i="1" l="1"/>
  <c r="G8" i="1" l="1"/>
</calcChain>
</file>

<file path=xl/sharedStrings.xml><?xml version="1.0" encoding="utf-8"?>
<sst xmlns="http://schemas.openxmlformats.org/spreadsheetml/2006/main" count="438" uniqueCount="51">
  <si>
    <r>
      <rPr>
        <sz val="12"/>
        <color rgb="FF333333"/>
        <rFont val="굴림"/>
        <family val="3"/>
        <charset val="129"/>
      </rPr>
      <t>권</t>
    </r>
  </si>
  <si>
    <t xml:space="preserve"> </t>
  </si>
  <si>
    <r>
      <rPr>
        <sz val="12"/>
        <color rgb="FF333333"/>
        <rFont val="굴림"/>
        <family val="3"/>
        <charset val="129"/>
      </rPr>
      <t>호</t>
    </r>
  </si>
  <si>
    <r>
      <rPr>
        <sz val="22"/>
        <color rgb="FF333333"/>
        <rFont val="굴림"/>
        <family val="3"/>
        <charset val="129"/>
      </rPr>
      <t>거 래 명 세 서</t>
    </r>
  </si>
  <si>
    <r>
      <rPr>
        <sz val="11"/>
        <color rgb="FF333333"/>
        <rFont val="굴림"/>
        <family val="3"/>
        <charset val="129"/>
      </rPr>
      <t>공 급 받 는 자 용</t>
    </r>
  </si>
  <si>
    <r>
      <rPr>
        <sz val="10"/>
        <color rgb="FF333333"/>
        <rFont val="굴림"/>
        <family val="3"/>
        <charset val="129"/>
      </rPr>
      <t xml:space="preserve">등 록
</t>
    </r>
    <r>
      <rPr>
        <sz val="10"/>
        <color rgb="FF333333"/>
        <rFont val="굴림"/>
        <family val="3"/>
        <charset val="129"/>
      </rPr>
      <t>번 호</t>
    </r>
  </si>
  <si>
    <r>
      <rPr>
        <sz val="10"/>
        <color rgb="FF333333"/>
        <rFont val="굴림"/>
        <family val="3"/>
        <charset val="129"/>
      </rPr>
      <t>상 호</t>
    </r>
  </si>
  <si>
    <r>
      <rPr>
        <sz val="10"/>
        <color rgb="FF333333"/>
        <rFont val="굴림"/>
        <family val="3"/>
        <charset val="129"/>
      </rPr>
      <t>성 명</t>
    </r>
  </si>
  <si>
    <r>
      <rPr>
        <sz val="10"/>
        <color rgb="FF333333"/>
        <rFont val="굴림"/>
        <family val="3"/>
        <charset val="129"/>
      </rPr>
      <t xml:space="preserve">사업장
</t>
    </r>
    <r>
      <rPr>
        <sz val="10"/>
        <color rgb="FF333333"/>
        <rFont val="굴림"/>
        <family val="3"/>
        <charset val="129"/>
      </rPr>
      <t>주 소</t>
    </r>
  </si>
  <si>
    <r>
      <rPr>
        <sz val="10"/>
        <color rgb="FF333333"/>
        <rFont val="굴림"/>
        <family val="3"/>
        <charset val="129"/>
      </rPr>
      <t>업 태</t>
    </r>
  </si>
  <si>
    <r>
      <rPr>
        <sz val="10"/>
        <color rgb="FF333333"/>
        <rFont val="굴림"/>
        <family val="3"/>
        <charset val="129"/>
      </rPr>
      <t>종 목</t>
    </r>
  </si>
  <si>
    <r>
      <rPr>
        <sz val="10"/>
        <color rgb="FF333333"/>
        <rFont val="굴림"/>
        <family val="3"/>
        <charset val="129"/>
      </rPr>
      <t xml:space="preserve">전 화
</t>
    </r>
    <r>
      <rPr>
        <sz val="10"/>
        <color rgb="FF333333"/>
        <rFont val="굴림"/>
        <family val="3"/>
        <charset val="129"/>
      </rPr>
      <t>번 호</t>
    </r>
  </si>
  <si>
    <r>
      <rPr>
        <sz val="10"/>
        <color rgb="FF333333"/>
        <rFont val="굴림"/>
        <family val="3"/>
        <charset val="129"/>
      </rPr>
      <t>F A X</t>
    </r>
  </si>
  <si>
    <r>
      <rPr>
        <sz val="12"/>
        <color rgb="FF333333"/>
        <rFont val="굴림"/>
        <family val="3"/>
        <charset val="129"/>
      </rPr>
      <t>합 계 금 액</t>
    </r>
  </si>
  <si>
    <r>
      <rPr>
        <sz val="12"/>
        <color rgb="FF333333"/>
        <rFont val="굴림"/>
        <family val="3"/>
        <charset val="129"/>
      </rPr>
      <t xml:space="preserve">일금 칠십이만육천원 </t>
    </r>
    <r>
      <rPr>
        <sz val="12"/>
        <color theme="1"/>
        <rFont val="굴림"/>
        <family val="3"/>
        <charset val="129"/>
      </rPr>
      <t>(₩726,000)</t>
    </r>
  </si>
  <si>
    <r>
      <rPr>
        <sz val="10"/>
        <color theme="1"/>
        <rFont val="굴림"/>
        <family val="3"/>
        <charset val="129"/>
      </rPr>
      <t>월일</t>
    </r>
  </si>
  <si>
    <r>
      <rPr>
        <sz val="10"/>
        <color rgb="FF333333"/>
        <rFont val="굴림"/>
        <family val="3"/>
        <charset val="129"/>
      </rPr>
      <t>품 명</t>
    </r>
  </si>
  <si>
    <r>
      <rPr>
        <sz val="10"/>
        <color rgb="FF333333"/>
        <rFont val="굴림"/>
        <family val="3"/>
        <charset val="129"/>
      </rPr>
      <t>수 량</t>
    </r>
  </si>
  <si>
    <r>
      <rPr>
        <sz val="10"/>
        <color rgb="FF333333"/>
        <rFont val="굴림"/>
        <family val="3"/>
        <charset val="129"/>
      </rPr>
      <t>단 가</t>
    </r>
  </si>
  <si>
    <r>
      <rPr>
        <sz val="10"/>
        <color rgb="FF333333"/>
        <rFont val="굴림"/>
        <family val="3"/>
        <charset val="129"/>
      </rPr>
      <t>공급가액</t>
    </r>
  </si>
  <si>
    <r>
      <rPr>
        <sz val="10"/>
        <color rgb="FF333333"/>
        <rFont val="굴림"/>
        <family val="3"/>
        <charset val="129"/>
      </rPr>
      <t>세 액</t>
    </r>
  </si>
  <si>
    <r>
      <rPr>
        <sz val="10"/>
        <color rgb="FF333333"/>
        <rFont val="굴림"/>
        <family val="3"/>
        <charset val="129"/>
      </rPr>
      <t>100mm Cap Cell</t>
    </r>
  </si>
  <si>
    <r>
      <rPr>
        <sz val="10"/>
        <color rgb="FF333333"/>
        <rFont val="굴림"/>
        <family val="3"/>
        <charset val="129"/>
      </rPr>
      <t>₩330,000</t>
    </r>
  </si>
  <si>
    <r>
      <rPr>
        <sz val="10"/>
        <color rgb="FF333333"/>
        <rFont val="굴림"/>
        <family val="3"/>
        <charset val="129"/>
      </rPr>
      <t>₩660,000</t>
    </r>
  </si>
  <si>
    <r>
      <rPr>
        <sz val="10"/>
        <color rgb="FF333333"/>
        <rFont val="굴림"/>
        <family val="3"/>
        <charset val="129"/>
      </rPr>
      <t>₩66,000</t>
    </r>
  </si>
  <si>
    <r>
      <rPr>
        <sz val="10"/>
        <color rgb="FF333333"/>
        <rFont val="굴림"/>
        <family val="3"/>
        <charset val="129"/>
      </rPr>
      <t>&lt; 이하여백 &gt;</t>
    </r>
  </si>
  <si>
    <t/>
  </si>
  <si>
    <r>
      <rPr>
        <sz val="12"/>
        <color rgb="FF333333"/>
        <rFont val="굴림"/>
        <family val="3"/>
        <charset val="129"/>
      </rPr>
      <t>계</t>
    </r>
  </si>
  <si>
    <r>
      <rPr>
        <sz val="12"/>
        <color rgb="FF333333"/>
        <rFont val="굴림"/>
        <family val="3"/>
        <charset val="129"/>
      </rPr>
      <t>₩726,000</t>
    </r>
  </si>
  <si>
    <r>
      <rPr>
        <sz val="12"/>
        <color rgb="FF333333"/>
        <rFont val="굴림"/>
        <family val="3"/>
        <charset val="129"/>
      </rPr>
      <t>비고</t>
    </r>
  </si>
  <si>
    <r>
      <rPr>
        <sz val="12"/>
        <color rgb="FF333333"/>
        <rFont val="굴림"/>
        <family val="3"/>
        <charset val="129"/>
      </rPr>
      <t>인수자 :</t>
    </r>
  </si>
  <si>
    <t>고 영 민</t>
    <phoneticPr fontId="9" type="noConversion"/>
  </si>
  <si>
    <t>고랩컴퍼니</t>
    <phoneticPr fontId="9" type="noConversion"/>
  </si>
  <si>
    <t>750-10-00690</t>
    <phoneticPr fontId="9" type="noConversion"/>
  </si>
  <si>
    <t>경기도 부천시 양지로 205, 서영아너시티2 H316호</t>
    <phoneticPr fontId="9" type="noConversion"/>
  </si>
  <si>
    <t>도매 소매 제조</t>
    <phoneticPr fontId="9" type="noConversion"/>
  </si>
  <si>
    <t>0503-009-3339</t>
    <phoneticPr fontId="9" type="noConversion"/>
  </si>
  <si>
    <t>010-2068-0100</t>
    <phoneticPr fontId="9" type="noConversion"/>
  </si>
  <si>
    <t>과학기자재</t>
    <phoneticPr fontId="9" type="noConversion"/>
  </si>
  <si>
    <t>신한은행 110-343-823946
예금주 고영민(고랩컴퍼니)</t>
    <phoneticPr fontId="9" type="noConversion"/>
  </si>
  <si>
    <t>공 급 자 용</t>
    <phoneticPr fontId="9" type="noConversion"/>
  </si>
  <si>
    <t>아래와 같이 계산합니다.</t>
  </si>
  <si>
    <r>
      <rPr>
        <sz val="10"/>
        <color rgb="FF333333"/>
        <rFont val="굴림"/>
        <family val="3"/>
        <charset val="129"/>
      </rPr>
      <t>전 화
번 호</t>
    </r>
  </si>
  <si>
    <t>대성금속 귀하</t>
    <phoneticPr fontId="9" type="noConversion"/>
  </si>
  <si>
    <t>l</t>
    <phoneticPr fontId="9" type="noConversion"/>
  </si>
  <si>
    <t xml:space="preserve">     고 영 민</t>
    <phoneticPr fontId="9" type="noConversion"/>
  </si>
  <si>
    <t>경기도 광명시 일직로43, GIDC A동 2601호</t>
    <phoneticPr fontId="9" type="noConversion"/>
  </si>
  <si>
    <t>0504-009-3339</t>
    <phoneticPr fontId="9" type="noConversion"/>
  </si>
  <si>
    <t>품 명</t>
    <phoneticPr fontId="9" type="noConversion"/>
  </si>
  <si>
    <t>VAT 포함</t>
    <phoneticPr fontId="9" type="noConversion"/>
  </si>
  <si>
    <t>SPQ Silver powder 600nm 5kg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</si>
</sst>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0;0"/>
    <numFmt numFmtId="177" formatCode="m&quot;/&quot;d;@"/>
  </numFmts>
  <fonts count="11" x14ac:knownFonts="1">
    <font>
      <sz val="11"/>
      <color theme="1"/>
      <name val="Calibri"/>
      <charset val="204"/>
    </font>
    <font>
      <sz val="10"/>
      <color rgb="FF333333"/>
      <name val="굴림"/>
      <family val="3"/>
      <charset val="129"/>
    </font>
    <font>
      <sz val="12"/>
      <color rgb="FF333333"/>
      <name val="굴림"/>
      <family val="3"/>
      <charset val="129"/>
    </font>
    <font>
      <sz val="22"/>
      <color rgb="FF333333"/>
      <name val="굴림"/>
      <family val="3"/>
      <charset val="129"/>
    </font>
    <font>
      <sz val="11"/>
      <color rgb="FF333333"/>
      <name val="굴림"/>
      <family val="3"/>
      <charset val="129"/>
    </font>
    <font>
      <sz val="11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0" fillId="2" borderId="2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right" vertical="center" wrapText="1"/>
    </xf>
    <xf numFmtId="0" fontId="0" fillId="2" borderId="20" xfId="0" applyFill="1" applyBorder="1" applyAlignment="1">
      <alignment horizontal="right" vertical="center" wrapText="1"/>
    </xf>
    <xf numFmtId="0" fontId="0" fillId="2" borderId="18" xfId="0" applyFill="1" applyBorder="1" applyAlignment="1">
      <alignment horizontal="center" vertical="top" wrapText="1"/>
    </xf>
    <xf numFmtId="0" fontId="0" fillId="2" borderId="19" xfId="0" applyFill="1" applyBorder="1" applyAlignment="1">
      <alignment horizontal="center" vertical="top" wrapText="1"/>
    </xf>
    <xf numFmtId="0" fontId="0" fillId="2" borderId="20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176" fontId="1" fillId="2" borderId="19" xfId="0" applyNumberFormat="1" applyFont="1" applyFill="1" applyBorder="1" applyAlignment="1">
      <alignment horizontal="center" vertical="center" wrapText="1"/>
    </xf>
    <xf numFmtId="177" fontId="5" fillId="2" borderId="18" xfId="0" applyNumberFormat="1" applyFont="1" applyFill="1" applyBorder="1" applyAlignment="1">
      <alignment horizontal="center" vertical="center" wrapText="1"/>
    </xf>
    <xf numFmtId="42" fontId="7" fillId="2" borderId="19" xfId="1" applyFont="1" applyFill="1" applyBorder="1" applyAlignment="1">
      <alignment horizontal="right" vertical="center" wrapText="1"/>
    </xf>
    <xf numFmtId="42" fontId="7" fillId="2" borderId="20" xfId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0" borderId="0" xfId="0" applyFont="1"/>
    <xf numFmtId="0" fontId="0" fillId="2" borderId="5" xfId="0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3" xfId="0" applyFill="1" applyBorder="1" applyAlignment="1">
      <alignment horizontal="center" vertical="center" wrapText="1"/>
    </xf>
    <xf numFmtId="57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right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right" vertical="center" wrapText="1"/>
    </xf>
    <xf numFmtId="0" fontId="1" fillId="2" borderId="19" xfId="0" applyFont="1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42" fontId="7" fillId="2" borderId="19" xfId="1" applyFont="1" applyFill="1" applyBorder="1" applyAlignment="1">
      <alignment horizontal="right" vertical="center" wrapText="1"/>
    </xf>
    <xf numFmtId="42" fontId="5" fillId="2" borderId="26" xfId="0" applyNumberFormat="1" applyFont="1" applyFill="1" applyBorder="1" applyAlignment="1">
      <alignment horizontal="center" vertical="center" wrapText="1"/>
    </xf>
    <xf numFmtId="42" fontId="5" fillId="2" borderId="14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2" fontId="5" fillId="2" borderId="25" xfId="0" applyNumberFormat="1" applyFont="1" applyFill="1" applyBorder="1" applyAlignment="1">
      <alignment horizontal="right" vertical="center" wrapText="1"/>
    </xf>
    <xf numFmtId="0" fontId="5" fillId="2" borderId="25" xfId="0" applyFont="1" applyFill="1" applyBorder="1" applyAlignment="1">
      <alignment horizontal="right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285750</xdr:colOff>
      <xdr:row>2</xdr:row>
      <xdr:rowOff>28575</xdr:rowOff>
    </xdr:from>
    <xdr:to>
      <xdr:col>10</xdr:col>
      <xdr:colOff>858475</xdr:colOff>
      <xdr:row>3</xdr:row>
      <xdr:rowOff>295275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A409D28-EC35-4B7A-9BB3-0663B41D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847725"/>
          <a:ext cx="57272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285751</xdr:colOff>
      <xdr:row>2</xdr:row>
      <xdr:rowOff>19050</xdr:rowOff>
    </xdr:from>
    <xdr:to>
      <xdr:col>8</xdr:col>
      <xdr:colOff>858476</xdr:colOff>
      <xdr:row>3</xdr:row>
      <xdr:rowOff>285750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7FD086E-684E-DA11-5A04-9ADD1DA2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1" y="838200"/>
          <a:ext cx="57272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B18" sqref="B18:F18"/>
    </sheetView>
  </sheetViews>
  <sheetFormatPr defaultColWidth="10.28515625" defaultRowHeight="13.5" customHeight="1" x14ac:dyDescent="0.25"/>
  <cols>
    <col min="1" max="1" width="6.85546875" customWidth="1"/>
    <col min="2" max="2" width="6.140625" customWidth="1"/>
    <col min="3" max="3" width="18.7109375" customWidth="1"/>
    <col min="4" max="4" width="6.140625" customWidth="1"/>
    <col min="5" max="5" width="2.85546875" customWidth="1"/>
    <col min="6" max="6" width="4" customWidth="1"/>
    <col min="7" max="7" width="6.42578125" customWidth="1"/>
    <col min="8" max="8" width="13" customWidth="1"/>
    <col min="9" max="9" width="6.42578125" customWidth="1"/>
    <col min="10" max="10" width="6.5703125" customWidth="1"/>
    <col min="11" max="11" width="13" customWidth="1"/>
  </cols>
  <sheetData>
    <row r="1" spans="1:11" ht="39.75" customHeight="1" thickTop="1" thickBot="1" x14ac:dyDescent="0.3">
      <c r="A1" s="25" t="s">
        <v>0</v>
      </c>
      <c r="B1" s="25" t="s">
        <v>1</v>
      </c>
      <c r="C1" s="1" t="s">
        <v>2</v>
      </c>
      <c r="D1" s="26" t="s">
        <v>3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</row>
    <row r="2" spans="1:11" ht="24.75" customHeight="1" thickTop="1" thickBot="1" x14ac:dyDescent="0.3">
      <c r="A2" s="27">
        <f ca="1">공급받는자!A2</f>
        <v>45797</v>
      </c>
      <c r="B2" s="28" t="s">
        <v>1</v>
      </c>
      <c r="C2" s="28" t="s">
        <v>1</v>
      </c>
      <c r="D2" s="28" t="s">
        <v>1</v>
      </c>
      <c r="E2" s="29" t="s">
        <v>40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</row>
    <row r="3" spans="1:11" ht="24.75" customHeight="1" thickTop="1" thickBot="1" x14ac:dyDescent="0.3">
      <c r="A3" s="28" t="s">
        <v>1</v>
      </c>
      <c r="B3" s="28" t="s">
        <v>1</v>
      </c>
      <c r="C3" s="28" t="s">
        <v>1</v>
      </c>
      <c r="D3" s="28" t="s">
        <v>1</v>
      </c>
      <c r="E3" s="31" t="s">
        <v>5</v>
      </c>
      <c r="F3" s="31" t="s">
        <v>1</v>
      </c>
      <c r="G3" s="32" t="s">
        <v>33</v>
      </c>
      <c r="H3" s="33" t="s">
        <v>1</v>
      </c>
      <c r="I3" s="33" t="s">
        <v>1</v>
      </c>
      <c r="J3" s="33" t="s">
        <v>1</v>
      </c>
      <c r="K3" s="33" t="s">
        <v>1</v>
      </c>
    </row>
    <row r="4" spans="1:11" ht="25.5" customHeight="1" thickBot="1" x14ac:dyDescent="0.3">
      <c r="A4" s="34" t="str">
        <f>공급받는자!A4</f>
        <v>대성금속 귀하</v>
      </c>
      <c r="B4" s="34" t="s">
        <v>1</v>
      </c>
      <c r="C4" s="34" t="s">
        <v>1</v>
      </c>
      <c r="D4" s="34" t="s">
        <v>1</v>
      </c>
      <c r="E4" s="31" t="s">
        <v>6</v>
      </c>
      <c r="F4" s="31" t="s">
        <v>1</v>
      </c>
      <c r="G4" s="35" t="s">
        <v>32</v>
      </c>
      <c r="H4" s="36" t="s">
        <v>1</v>
      </c>
      <c r="I4" s="2" t="s">
        <v>7</v>
      </c>
      <c r="J4" s="37" t="s">
        <v>31</v>
      </c>
      <c r="K4" s="38" t="s">
        <v>1</v>
      </c>
    </row>
    <row r="5" spans="1:11" ht="24.75" customHeight="1" thickBot="1" x14ac:dyDescent="0.3">
      <c r="A5" s="34" t="s">
        <v>1</v>
      </c>
      <c r="B5" s="34" t="s">
        <v>1</v>
      </c>
      <c r="C5" s="34" t="s">
        <v>1</v>
      </c>
      <c r="D5" s="34" t="s">
        <v>1</v>
      </c>
      <c r="E5" s="31" t="s">
        <v>8</v>
      </c>
      <c r="F5" s="31" t="s">
        <v>1</v>
      </c>
      <c r="G5" s="32" t="s">
        <v>34</v>
      </c>
      <c r="H5" s="33" t="s">
        <v>1</v>
      </c>
      <c r="I5" s="33" t="s">
        <v>1</v>
      </c>
      <c r="J5" s="33" t="s">
        <v>1</v>
      </c>
      <c r="K5" s="33" t="s">
        <v>1</v>
      </c>
    </row>
    <row r="6" spans="1:11" ht="25.5" customHeight="1" thickBot="1" x14ac:dyDescent="0.3">
      <c r="A6" s="39" t="s">
        <v>41</v>
      </c>
      <c r="B6" s="39" t="s">
        <v>1</v>
      </c>
      <c r="C6" s="39" t="s">
        <v>1</v>
      </c>
      <c r="D6" s="39" t="s">
        <v>1</v>
      </c>
      <c r="E6" s="31" t="s">
        <v>9</v>
      </c>
      <c r="F6" s="31" t="s">
        <v>1</v>
      </c>
      <c r="G6" s="35" t="s">
        <v>35</v>
      </c>
      <c r="H6" s="36" t="s">
        <v>1</v>
      </c>
      <c r="I6" s="2" t="s">
        <v>10</v>
      </c>
      <c r="J6" s="32" t="s">
        <v>38</v>
      </c>
      <c r="K6" s="33" t="s">
        <v>1</v>
      </c>
    </row>
    <row r="7" spans="1:11" ht="24.75" customHeight="1" thickTop="1" thickBot="1" x14ac:dyDescent="0.3">
      <c r="A7" s="39" t="s">
        <v>1</v>
      </c>
      <c r="B7" s="39" t="s">
        <v>1</v>
      </c>
      <c r="C7" s="39" t="s">
        <v>1</v>
      </c>
      <c r="D7" s="39" t="s">
        <v>1</v>
      </c>
      <c r="E7" s="40" t="s">
        <v>11</v>
      </c>
      <c r="F7" s="40" t="s">
        <v>1</v>
      </c>
      <c r="G7" s="41" t="s">
        <v>37</v>
      </c>
      <c r="H7" s="41"/>
      <c r="I7" s="3" t="s">
        <v>12</v>
      </c>
      <c r="J7" s="42" t="s">
        <v>36</v>
      </c>
      <c r="K7" s="43" t="s">
        <v>1</v>
      </c>
    </row>
    <row r="8" spans="1:11" ht="24.75" customHeight="1" thickTop="1" thickBot="1" x14ac:dyDescent="0.3">
      <c r="A8" s="45" t="s">
        <v>13</v>
      </c>
      <c r="B8" s="45" t="s">
        <v>1</v>
      </c>
      <c r="C8" s="45" t="s">
        <v>1</v>
      </c>
      <c r="D8" s="45" t="s">
        <v>1</v>
      </c>
      <c r="E8" s="45" t="s">
        <v>1</v>
      </c>
      <c r="F8" s="46" t="s">
        <v>14</v>
      </c>
      <c r="G8" s="46" t="s">
        <v>1</v>
      </c>
      <c r="H8" s="46" t="s">
        <v>1</v>
      </c>
      <c r="I8" s="46" t="s">
        <v>1</v>
      </c>
      <c r="J8" s="46" t="s">
        <v>1</v>
      </c>
      <c r="K8" s="46" t="s">
        <v>1</v>
      </c>
    </row>
    <row r="9" spans="1:11" ht="24.75" customHeight="1" thickTop="1" x14ac:dyDescent="0.25">
      <c r="A9" s="4" t="s">
        <v>15</v>
      </c>
      <c r="B9" s="47" t="s">
        <v>16</v>
      </c>
      <c r="C9" s="47" t="s">
        <v>1</v>
      </c>
      <c r="D9" s="47" t="s">
        <v>1</v>
      </c>
      <c r="E9" s="47" t="s">
        <v>1</v>
      </c>
      <c r="F9" s="47" t="s">
        <v>1</v>
      </c>
      <c r="G9" s="5" t="s">
        <v>17</v>
      </c>
      <c r="H9" s="5" t="s">
        <v>18</v>
      </c>
      <c r="I9" s="47" t="s">
        <v>19</v>
      </c>
      <c r="J9" s="47" t="s">
        <v>1</v>
      </c>
      <c r="K9" s="6" t="s">
        <v>20</v>
      </c>
    </row>
    <row r="10" spans="1:11" ht="25.5" customHeight="1" x14ac:dyDescent="0.25">
      <c r="A10" s="16">
        <f ca="1">A2</f>
        <v>45797</v>
      </c>
      <c r="B10" s="48" t="s">
        <v>21</v>
      </c>
      <c r="C10" s="48" t="s">
        <v>1</v>
      </c>
      <c r="D10" s="48" t="s">
        <v>1</v>
      </c>
      <c r="E10" s="48" t="s">
        <v>1</v>
      </c>
      <c r="F10" s="48" t="s">
        <v>1</v>
      </c>
      <c r="G10" s="15">
        <v>2</v>
      </c>
      <c r="H10" s="7" t="s">
        <v>22</v>
      </c>
      <c r="I10" s="49" t="s">
        <v>23</v>
      </c>
      <c r="J10" s="49" t="s">
        <v>1</v>
      </c>
      <c r="K10" s="8" t="s">
        <v>24</v>
      </c>
    </row>
    <row r="11" spans="1:11" ht="24.75" customHeight="1" x14ac:dyDescent="0.25">
      <c r="A11" s="50" t="s">
        <v>25</v>
      </c>
      <c r="B11" s="50" t="s">
        <v>1</v>
      </c>
      <c r="C11" s="50" t="s">
        <v>1</v>
      </c>
      <c r="D11" s="50" t="s">
        <v>1</v>
      </c>
      <c r="E11" s="50" t="s">
        <v>1</v>
      </c>
      <c r="F11" s="50" t="s">
        <v>1</v>
      </c>
      <c r="G11" s="50" t="s">
        <v>1</v>
      </c>
      <c r="H11" s="50" t="s">
        <v>1</v>
      </c>
      <c r="I11" s="50" t="s">
        <v>1</v>
      </c>
      <c r="J11" s="50" t="s">
        <v>1</v>
      </c>
      <c r="K11" s="50" t="s">
        <v>1</v>
      </c>
    </row>
    <row r="12" spans="1:11" ht="24.75" customHeight="1" x14ac:dyDescent="0.25">
      <c r="A12" s="9" t="s">
        <v>26</v>
      </c>
      <c r="B12" s="44" t="s">
        <v>26</v>
      </c>
      <c r="C12" s="44" t="s">
        <v>1</v>
      </c>
      <c r="D12" s="44" t="s">
        <v>1</v>
      </c>
      <c r="E12" s="44" t="s">
        <v>1</v>
      </c>
      <c r="F12" s="44" t="s">
        <v>1</v>
      </c>
      <c r="G12" s="10" t="s">
        <v>26</v>
      </c>
      <c r="H12" s="10" t="s">
        <v>26</v>
      </c>
      <c r="I12" s="44" t="s">
        <v>26</v>
      </c>
      <c r="J12" s="44" t="s">
        <v>1</v>
      </c>
      <c r="K12" s="11" t="s">
        <v>26</v>
      </c>
    </row>
    <row r="13" spans="1:11" ht="25.5" customHeight="1" x14ac:dyDescent="0.25">
      <c r="A13" s="9" t="s">
        <v>26</v>
      </c>
      <c r="B13" s="44" t="s">
        <v>26</v>
      </c>
      <c r="C13" s="44" t="s">
        <v>1</v>
      </c>
      <c r="D13" s="44" t="s">
        <v>1</v>
      </c>
      <c r="E13" s="44" t="s">
        <v>1</v>
      </c>
      <c r="F13" s="44" t="s">
        <v>1</v>
      </c>
      <c r="G13" s="10" t="s">
        <v>26</v>
      </c>
      <c r="H13" s="10" t="s">
        <v>26</v>
      </c>
      <c r="I13" s="44" t="s">
        <v>26</v>
      </c>
      <c r="J13" s="44" t="s">
        <v>1</v>
      </c>
      <c r="K13" s="11" t="s">
        <v>26</v>
      </c>
    </row>
    <row r="14" spans="1:11" ht="24.75" customHeight="1" x14ac:dyDescent="0.25">
      <c r="A14" s="9" t="s">
        <v>26</v>
      </c>
      <c r="B14" s="44" t="s">
        <v>26</v>
      </c>
      <c r="C14" s="44" t="s">
        <v>1</v>
      </c>
      <c r="D14" s="44" t="s">
        <v>1</v>
      </c>
      <c r="E14" s="44" t="s">
        <v>1</v>
      </c>
      <c r="F14" s="44" t="s">
        <v>1</v>
      </c>
      <c r="G14" s="10" t="s">
        <v>26</v>
      </c>
      <c r="H14" s="10" t="s">
        <v>26</v>
      </c>
      <c r="I14" s="44" t="s">
        <v>26</v>
      </c>
      <c r="J14" s="44" t="s">
        <v>1</v>
      </c>
      <c r="K14" s="11" t="s">
        <v>26</v>
      </c>
    </row>
    <row r="15" spans="1:11" ht="24.75" customHeight="1" x14ac:dyDescent="0.25">
      <c r="A15" s="9" t="s">
        <v>26</v>
      </c>
      <c r="B15" s="44" t="s">
        <v>26</v>
      </c>
      <c r="C15" s="44" t="s">
        <v>1</v>
      </c>
      <c r="D15" s="44" t="s">
        <v>1</v>
      </c>
      <c r="E15" s="44" t="s">
        <v>1</v>
      </c>
      <c r="F15" s="44" t="s">
        <v>1</v>
      </c>
      <c r="G15" s="10" t="s">
        <v>26</v>
      </c>
      <c r="H15" s="10" t="s">
        <v>26</v>
      </c>
      <c r="I15" s="44" t="s">
        <v>26</v>
      </c>
      <c r="J15" s="44" t="s">
        <v>1</v>
      </c>
      <c r="K15" s="11" t="s">
        <v>26</v>
      </c>
    </row>
    <row r="16" spans="1:11" ht="25.5" customHeight="1" x14ac:dyDescent="0.25">
      <c r="A16" s="9" t="s">
        <v>26</v>
      </c>
      <c r="B16" s="44" t="s">
        <v>26</v>
      </c>
      <c r="C16" s="44" t="s">
        <v>1</v>
      </c>
      <c r="D16" s="44" t="s">
        <v>1</v>
      </c>
      <c r="E16" s="44" t="s">
        <v>1</v>
      </c>
      <c r="F16" s="44" t="s">
        <v>1</v>
      </c>
      <c r="G16" s="10" t="s">
        <v>26</v>
      </c>
      <c r="H16" s="10" t="s">
        <v>26</v>
      </c>
      <c r="I16" s="44" t="s">
        <v>26</v>
      </c>
      <c r="J16" s="44" t="s">
        <v>1</v>
      </c>
      <c r="K16" s="11" t="s">
        <v>26</v>
      </c>
    </row>
    <row r="17" spans="1:11" ht="24.75" customHeight="1" x14ac:dyDescent="0.25">
      <c r="A17" s="9" t="s">
        <v>26</v>
      </c>
      <c r="B17" s="44" t="s">
        <v>26</v>
      </c>
      <c r="C17" s="44" t="s">
        <v>1</v>
      </c>
      <c r="D17" s="44" t="s">
        <v>1</v>
      </c>
      <c r="E17" s="44" t="s">
        <v>1</v>
      </c>
      <c r="F17" s="44" t="s">
        <v>1</v>
      </c>
      <c r="G17" s="10" t="s">
        <v>26</v>
      </c>
      <c r="H17" s="10" t="s">
        <v>26</v>
      </c>
      <c r="I17" s="44" t="s">
        <v>26</v>
      </c>
      <c r="J17" s="44" t="s">
        <v>1</v>
      </c>
      <c r="K17" s="11" t="s">
        <v>26</v>
      </c>
    </row>
    <row r="18" spans="1:11" ht="24.75" customHeight="1" x14ac:dyDescent="0.25">
      <c r="A18" s="9" t="s">
        <v>26</v>
      </c>
      <c r="B18" s="44" t="s">
        <v>26</v>
      </c>
      <c r="C18" s="44" t="s">
        <v>1</v>
      </c>
      <c r="D18" s="44" t="s">
        <v>1</v>
      </c>
      <c r="E18" s="44" t="s">
        <v>1</v>
      </c>
      <c r="F18" s="44" t="s">
        <v>1</v>
      </c>
      <c r="G18" s="10" t="s">
        <v>26</v>
      </c>
      <c r="H18" s="10" t="s">
        <v>26</v>
      </c>
      <c r="I18" s="44" t="s">
        <v>26</v>
      </c>
      <c r="J18" s="44" t="s">
        <v>1</v>
      </c>
      <c r="K18" s="11" t="s">
        <v>26</v>
      </c>
    </row>
    <row r="19" spans="1:11" ht="24.75" customHeight="1" x14ac:dyDescent="0.25">
      <c r="A19" s="9" t="s">
        <v>26</v>
      </c>
      <c r="B19" s="44" t="s">
        <v>26</v>
      </c>
      <c r="C19" s="44" t="s">
        <v>1</v>
      </c>
      <c r="D19" s="44" t="s">
        <v>1</v>
      </c>
      <c r="E19" s="44" t="s">
        <v>1</v>
      </c>
      <c r="F19" s="44" t="s">
        <v>1</v>
      </c>
      <c r="G19" s="10" t="s">
        <v>26</v>
      </c>
      <c r="H19" s="10" t="s">
        <v>26</v>
      </c>
      <c r="I19" s="44" t="s">
        <v>26</v>
      </c>
      <c r="J19" s="44" t="s">
        <v>1</v>
      </c>
      <c r="K19" s="11" t="s">
        <v>26</v>
      </c>
    </row>
    <row r="20" spans="1:11" ht="25.5" customHeight="1" x14ac:dyDescent="0.25">
      <c r="A20" s="9" t="s">
        <v>26</v>
      </c>
      <c r="B20" s="44" t="s">
        <v>26</v>
      </c>
      <c r="C20" s="44" t="s">
        <v>1</v>
      </c>
      <c r="D20" s="44" t="s">
        <v>1</v>
      </c>
      <c r="E20" s="44" t="s">
        <v>1</v>
      </c>
      <c r="F20" s="44" t="s">
        <v>1</v>
      </c>
      <c r="G20" s="10" t="s">
        <v>26</v>
      </c>
      <c r="H20" s="10" t="s">
        <v>26</v>
      </c>
      <c r="I20" s="44" t="s">
        <v>26</v>
      </c>
      <c r="J20" s="44" t="s">
        <v>1</v>
      </c>
      <c r="K20" s="11" t="s">
        <v>26</v>
      </c>
    </row>
    <row r="21" spans="1:11" ht="24.75" customHeight="1" x14ac:dyDescent="0.25">
      <c r="A21" s="9" t="s">
        <v>26</v>
      </c>
      <c r="B21" s="44" t="s">
        <v>26</v>
      </c>
      <c r="C21" s="44" t="s">
        <v>1</v>
      </c>
      <c r="D21" s="44" t="s">
        <v>1</v>
      </c>
      <c r="E21" s="44" t="s">
        <v>1</v>
      </c>
      <c r="F21" s="44" t="s">
        <v>1</v>
      </c>
      <c r="G21" s="10" t="s">
        <v>26</v>
      </c>
      <c r="H21" s="10" t="s">
        <v>26</v>
      </c>
      <c r="I21" s="44" t="s">
        <v>26</v>
      </c>
      <c r="J21" s="44" t="s">
        <v>1</v>
      </c>
      <c r="K21" s="11" t="s">
        <v>26</v>
      </c>
    </row>
    <row r="22" spans="1:11" ht="24.75" customHeight="1" x14ac:dyDescent="0.25">
      <c r="A22" s="9" t="s">
        <v>26</v>
      </c>
      <c r="B22" s="44" t="s">
        <v>26</v>
      </c>
      <c r="C22" s="44" t="s">
        <v>1</v>
      </c>
      <c r="D22" s="44" t="s">
        <v>1</v>
      </c>
      <c r="E22" s="44" t="s">
        <v>1</v>
      </c>
      <c r="F22" s="44" t="s">
        <v>1</v>
      </c>
      <c r="G22" s="10" t="s">
        <v>26</v>
      </c>
      <c r="H22" s="10" t="s">
        <v>26</v>
      </c>
      <c r="I22" s="44" t="s">
        <v>26</v>
      </c>
      <c r="J22" s="44" t="s">
        <v>1</v>
      </c>
      <c r="K22" s="11" t="s">
        <v>26</v>
      </c>
    </row>
    <row r="23" spans="1:11" ht="24.75" customHeight="1" x14ac:dyDescent="0.25">
      <c r="A23" s="9" t="s">
        <v>26</v>
      </c>
      <c r="B23" s="44" t="s">
        <v>26</v>
      </c>
      <c r="C23" s="44" t="s">
        <v>1</v>
      </c>
      <c r="D23" s="44" t="s">
        <v>1</v>
      </c>
      <c r="E23" s="44" t="s">
        <v>1</v>
      </c>
      <c r="F23" s="44" t="s">
        <v>1</v>
      </c>
      <c r="G23" s="10" t="s">
        <v>26</v>
      </c>
      <c r="H23" s="10" t="s">
        <v>26</v>
      </c>
      <c r="I23" s="44" t="s">
        <v>26</v>
      </c>
      <c r="J23" s="44" t="s">
        <v>1</v>
      </c>
      <c r="K23" s="11" t="s">
        <v>26</v>
      </c>
    </row>
    <row r="24" spans="1:11" ht="25.5" customHeight="1" x14ac:dyDescent="0.25">
      <c r="A24" s="9" t="s">
        <v>26</v>
      </c>
      <c r="B24" s="44" t="s">
        <v>26</v>
      </c>
      <c r="C24" s="44" t="s">
        <v>1</v>
      </c>
      <c r="D24" s="44" t="s">
        <v>1</v>
      </c>
      <c r="E24" s="44" t="s">
        <v>1</v>
      </c>
      <c r="F24" s="44" t="s">
        <v>1</v>
      </c>
      <c r="G24" s="10" t="s">
        <v>26</v>
      </c>
      <c r="H24" s="10" t="s">
        <v>26</v>
      </c>
      <c r="I24" s="44" t="s">
        <v>26</v>
      </c>
      <c r="J24" s="44" t="s">
        <v>1</v>
      </c>
      <c r="K24" s="11" t="s">
        <v>26</v>
      </c>
    </row>
    <row r="25" spans="1:11" ht="24.75" customHeight="1" thickBot="1" x14ac:dyDescent="0.3">
      <c r="A25" s="12" t="s">
        <v>26</v>
      </c>
      <c r="B25" s="54" t="s">
        <v>26</v>
      </c>
      <c r="C25" s="54" t="s">
        <v>1</v>
      </c>
      <c r="D25" s="54" t="s">
        <v>1</v>
      </c>
      <c r="E25" s="54" t="s">
        <v>1</v>
      </c>
      <c r="F25" s="54" t="s">
        <v>1</v>
      </c>
      <c r="G25" s="13" t="s">
        <v>26</v>
      </c>
      <c r="H25" s="13" t="s">
        <v>26</v>
      </c>
      <c r="I25" s="54" t="s">
        <v>26</v>
      </c>
      <c r="J25" s="54" t="s">
        <v>1</v>
      </c>
      <c r="K25" s="14" t="s">
        <v>26</v>
      </c>
    </row>
    <row r="26" spans="1:11" ht="30" customHeight="1" thickTop="1" thickBot="1" x14ac:dyDescent="0.3">
      <c r="A26" s="55" t="s">
        <v>27</v>
      </c>
      <c r="B26" s="55" t="s">
        <v>1</v>
      </c>
      <c r="C26" s="55" t="s">
        <v>1</v>
      </c>
      <c r="D26" s="55" t="s">
        <v>1</v>
      </c>
      <c r="E26" s="55" t="s">
        <v>1</v>
      </c>
      <c r="F26" s="55" t="s">
        <v>1</v>
      </c>
      <c r="G26" s="55" t="s">
        <v>1</v>
      </c>
      <c r="H26" s="56" t="s">
        <v>28</v>
      </c>
      <c r="I26" s="56" t="s">
        <v>1</v>
      </c>
      <c r="J26" s="56" t="s">
        <v>1</v>
      </c>
      <c r="K26" s="56" t="s">
        <v>1</v>
      </c>
    </row>
    <row r="27" spans="1:11" ht="39.75" customHeight="1" thickTop="1" thickBot="1" x14ac:dyDescent="0.3">
      <c r="A27" s="51" t="s">
        <v>29</v>
      </c>
      <c r="B27" s="51" t="s">
        <v>1</v>
      </c>
      <c r="C27" s="52" t="s">
        <v>39</v>
      </c>
      <c r="D27" s="26" t="s">
        <v>1</v>
      </c>
      <c r="E27" s="26" t="s">
        <v>1</v>
      </c>
      <c r="F27" s="26" t="s">
        <v>1</v>
      </c>
      <c r="G27" s="26" t="s">
        <v>1</v>
      </c>
      <c r="H27" s="53" t="s">
        <v>30</v>
      </c>
      <c r="I27" s="53" t="s">
        <v>1</v>
      </c>
      <c r="J27" s="53" t="s">
        <v>1</v>
      </c>
      <c r="K27" s="53" t="s">
        <v>1</v>
      </c>
    </row>
  </sheetData>
  <mergeCells count="59">
    <mergeCell ref="A27:B27"/>
    <mergeCell ref="C27:G27"/>
    <mergeCell ref="H27:K27"/>
    <mergeCell ref="B24:F24"/>
    <mergeCell ref="I24:J24"/>
    <mergeCell ref="B25:F25"/>
    <mergeCell ref="I25:J25"/>
    <mergeCell ref="A26:G26"/>
    <mergeCell ref="H26:K26"/>
    <mergeCell ref="B21:F21"/>
    <mergeCell ref="I21:J21"/>
    <mergeCell ref="B22:F22"/>
    <mergeCell ref="I22:J22"/>
    <mergeCell ref="B23:F23"/>
    <mergeCell ref="I23:J23"/>
    <mergeCell ref="B18:F18"/>
    <mergeCell ref="I18:J18"/>
    <mergeCell ref="B19:F19"/>
    <mergeCell ref="I19:J19"/>
    <mergeCell ref="B20:F20"/>
    <mergeCell ref="I20:J20"/>
    <mergeCell ref="B15:F15"/>
    <mergeCell ref="I15:J15"/>
    <mergeCell ref="B16:F16"/>
    <mergeCell ref="I16:J16"/>
    <mergeCell ref="B17:F17"/>
    <mergeCell ref="I17:J17"/>
    <mergeCell ref="B14:F14"/>
    <mergeCell ref="I14:J14"/>
    <mergeCell ref="A8:E8"/>
    <mergeCell ref="F8:K8"/>
    <mergeCell ref="B9:F9"/>
    <mergeCell ref="I9:J9"/>
    <mergeCell ref="B10:F10"/>
    <mergeCell ref="I10:J10"/>
    <mergeCell ref="A11:K11"/>
    <mergeCell ref="B12:F12"/>
    <mergeCell ref="I12:J12"/>
    <mergeCell ref="B13:F13"/>
    <mergeCell ref="I13:J13"/>
    <mergeCell ref="A6:D7"/>
    <mergeCell ref="E6:F6"/>
    <mergeCell ref="G6:H6"/>
    <mergeCell ref="J6:K6"/>
    <mergeCell ref="E7:F7"/>
    <mergeCell ref="G7:H7"/>
    <mergeCell ref="J7:K7"/>
    <mergeCell ref="A4:D5"/>
    <mergeCell ref="E4:F4"/>
    <mergeCell ref="G4:H4"/>
    <mergeCell ref="J4:K4"/>
    <mergeCell ref="E5:F5"/>
    <mergeCell ref="G5:K5"/>
    <mergeCell ref="A1:B1"/>
    <mergeCell ref="D1:K1"/>
    <mergeCell ref="A2:D3"/>
    <mergeCell ref="E2:K2"/>
    <mergeCell ref="E3:F3"/>
    <mergeCell ref="G3:K3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7"/>
  <sheetViews>
    <sheetView tabSelected="1" workbookViewId="0">
      <selection activeCell="N6" sqref="N6"/>
    </sheetView>
  </sheetViews>
  <sheetFormatPr defaultColWidth="10.28515625" defaultRowHeight="13.5" customHeight="1" x14ac:dyDescent="0.25"/>
  <cols>
    <col min="1" max="1" width="6.85546875" customWidth="1"/>
    <col min="2" max="2" width="6.140625"/>
    <col min="3" max="3" width="25.7109375" customWidth="1"/>
    <col min="4" max="4" width="7.28515625" customWidth="1"/>
    <col min="5" max="5" width="6.42578125"/>
    <col min="6" max="6" width="14.28515625" bestFit="1" customWidth="1"/>
    <col min="7" max="7" width="6.42578125"/>
    <col min="8" max="8" width="6.5703125"/>
    <col min="9" max="9" width="13"/>
  </cols>
  <sheetData>
    <row r="1" spans="1:9" ht="39.75" customHeight="1" thickTop="1" thickBot="1" x14ac:dyDescent="0.3">
      <c r="A1" s="25" t="s">
        <v>0</v>
      </c>
      <c r="B1" s="25" t="s">
        <v>1</v>
      </c>
      <c r="C1" s="1" t="s">
        <v>2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</row>
    <row r="2" spans="1:9" ht="24.75" customHeight="1" thickTop="1" thickBot="1" x14ac:dyDescent="0.3">
      <c r="A2" s="27">
        <f ca="1">TODAY()</f>
        <v>45797</v>
      </c>
      <c r="B2" s="28"/>
      <c r="C2" s="28"/>
      <c r="D2" s="30" t="s">
        <v>4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</row>
    <row r="3" spans="1:9" ht="24.75" customHeight="1" thickTop="1" thickBot="1" x14ac:dyDescent="0.3">
      <c r="A3" s="28"/>
      <c r="B3" s="28"/>
      <c r="C3" s="28"/>
      <c r="D3" s="22" t="s">
        <v>5</v>
      </c>
      <c r="E3" s="32" t="s">
        <v>33</v>
      </c>
      <c r="F3" s="33" t="s">
        <v>1</v>
      </c>
      <c r="G3" s="33" t="s">
        <v>1</v>
      </c>
      <c r="H3" s="33" t="s">
        <v>1</v>
      </c>
      <c r="I3" s="33" t="s">
        <v>1</v>
      </c>
    </row>
    <row r="4" spans="1:9" ht="25.5" customHeight="1" thickBot="1" x14ac:dyDescent="0.3">
      <c r="A4" s="71" t="s">
        <v>43</v>
      </c>
      <c r="B4" s="72" t="s">
        <v>1</v>
      </c>
      <c r="C4" s="72" t="s">
        <v>1</v>
      </c>
      <c r="D4" s="22" t="s">
        <v>6</v>
      </c>
      <c r="E4" s="35" t="s">
        <v>32</v>
      </c>
      <c r="F4" s="36" t="s">
        <v>1</v>
      </c>
      <c r="G4" s="2" t="s">
        <v>7</v>
      </c>
      <c r="H4" s="37" t="s">
        <v>45</v>
      </c>
      <c r="I4" s="38" t="s">
        <v>1</v>
      </c>
    </row>
    <row r="5" spans="1:9" ht="24.75" customHeight="1" thickBot="1" x14ac:dyDescent="0.3">
      <c r="A5" s="72" t="s">
        <v>1</v>
      </c>
      <c r="B5" s="72" t="s">
        <v>1</v>
      </c>
      <c r="C5" s="72" t="s">
        <v>1</v>
      </c>
      <c r="D5" s="22" t="s">
        <v>8</v>
      </c>
      <c r="E5" s="32" t="s">
        <v>46</v>
      </c>
      <c r="F5" s="33" t="s">
        <v>1</v>
      </c>
      <c r="G5" s="33" t="s">
        <v>1</v>
      </c>
      <c r="H5" s="33" t="s">
        <v>1</v>
      </c>
      <c r="I5" s="33" t="s">
        <v>1</v>
      </c>
    </row>
    <row r="6" spans="1:9" ht="25.5" customHeight="1" thickBot="1" x14ac:dyDescent="0.3">
      <c r="A6" s="39" t="s">
        <v>41</v>
      </c>
      <c r="B6" s="39" t="s">
        <v>1</v>
      </c>
      <c r="C6" s="39" t="s">
        <v>1</v>
      </c>
      <c r="D6" s="24" t="s">
        <v>9</v>
      </c>
      <c r="E6" s="35" t="s">
        <v>35</v>
      </c>
      <c r="F6" s="70" t="s">
        <v>1</v>
      </c>
      <c r="G6" s="19" t="s">
        <v>10</v>
      </c>
      <c r="H6" s="32" t="s">
        <v>38</v>
      </c>
      <c r="I6" s="73" t="s">
        <v>1</v>
      </c>
    </row>
    <row r="7" spans="1:9" ht="24.75" customHeight="1" thickTop="1" thickBot="1" x14ac:dyDescent="0.3">
      <c r="A7" s="39" t="s">
        <v>1</v>
      </c>
      <c r="B7" s="39" t="s">
        <v>1</v>
      </c>
      <c r="C7" s="39" t="s">
        <v>1</v>
      </c>
      <c r="D7" s="23" t="s">
        <v>42</v>
      </c>
      <c r="E7" s="41" t="s">
        <v>37</v>
      </c>
      <c r="F7" s="41"/>
      <c r="G7" s="20" t="s">
        <v>12</v>
      </c>
      <c r="H7" s="42" t="s">
        <v>47</v>
      </c>
      <c r="I7" s="68" t="s">
        <v>1</v>
      </c>
    </row>
    <row r="8" spans="1:9" ht="24.75" customHeight="1" thickTop="1" thickBot="1" x14ac:dyDescent="0.3">
      <c r="A8" s="62" t="s">
        <v>13</v>
      </c>
      <c r="B8" s="63"/>
      <c r="C8" s="64"/>
      <c r="D8" s="63" t="s">
        <v>49</v>
      </c>
      <c r="E8" s="63"/>
      <c r="F8" s="63"/>
      <c r="G8" s="60">
        <f>F26</f>
        <v>9075000</v>
      </c>
      <c r="H8" s="60"/>
      <c r="I8" s="61"/>
    </row>
    <row r="9" spans="1:9" ht="24.75" customHeight="1" thickTop="1" x14ac:dyDescent="0.25">
      <c r="A9" s="4" t="s">
        <v>15</v>
      </c>
      <c r="B9" s="69" t="s">
        <v>48</v>
      </c>
      <c r="C9" s="47" t="s">
        <v>1</v>
      </c>
      <c r="D9" s="47" t="s">
        <v>1</v>
      </c>
      <c r="E9" s="5" t="s">
        <v>17</v>
      </c>
      <c r="F9" s="5" t="s">
        <v>18</v>
      </c>
      <c r="G9" s="47" t="s">
        <v>19</v>
      </c>
      <c r="H9" s="47" t="s">
        <v>1</v>
      </c>
      <c r="I9" s="6" t="s">
        <v>20</v>
      </c>
    </row>
    <row r="10" spans="1:9" ht="25.5" customHeight="1" x14ac:dyDescent="0.25">
      <c r="A10" s="16">
        <f ca="1">A2</f>
        <v>45797</v>
      </c>
      <c r="B10" s="65" t="s">
        <v>50</v>
      </c>
      <c r="C10" s="66"/>
      <c r="D10" s="67"/>
      <c r="E10" s="15">
        <v>1</v>
      </c>
      <c r="F10" s="17">
        <v>8250000</v>
      </c>
      <c r="G10" s="59">
        <f>E10*F10</f>
        <v>8250000</v>
      </c>
      <c r="H10" s="59"/>
      <c r="I10" s="18">
        <f>G10*0.1</f>
        <v>825000</v>
      </c>
    </row>
    <row r="11" spans="1:9" ht="25.5" customHeight="1" x14ac:dyDescent="0.25">
      <c r="A11" s="78" t="s">
        <v>25</v>
      </c>
      <c r="B11" s="79"/>
      <c r="C11" s="79"/>
      <c r="D11" s="79"/>
      <c r="E11" s="79"/>
      <c r="F11" s="79"/>
      <c r="G11" s="79"/>
      <c r="H11" s="79"/>
      <c r="I11" s="80"/>
    </row>
    <row r="12" spans="1:9" ht="24.75" customHeight="1" x14ac:dyDescent="0.25">
      <c r="A12" s="9" t="s">
        <v>26</v>
      </c>
      <c r="B12" s="57"/>
      <c r="C12" s="58"/>
      <c r="D12" s="58"/>
      <c r="E12" s="15"/>
      <c r="F12" s="17"/>
      <c r="G12" s="59"/>
      <c r="H12" s="59"/>
      <c r="I12" s="18"/>
    </row>
    <row r="13" spans="1:9" ht="24.75" customHeight="1" x14ac:dyDescent="0.25">
      <c r="A13" s="9" t="s">
        <v>26</v>
      </c>
      <c r="B13" s="57"/>
      <c r="C13" s="58"/>
      <c r="D13" s="58"/>
      <c r="E13" s="15"/>
      <c r="F13" s="17"/>
      <c r="G13" s="59"/>
      <c r="H13" s="59"/>
      <c r="I13" s="18"/>
    </row>
    <row r="14" spans="1:9" ht="24.75" customHeight="1" x14ac:dyDescent="0.25">
      <c r="A14" s="9" t="s">
        <v>26</v>
      </c>
      <c r="B14" s="57"/>
      <c r="C14" s="58"/>
      <c r="D14" s="58"/>
      <c r="E14" s="15"/>
      <c r="F14" s="17"/>
      <c r="G14" s="59"/>
      <c r="H14" s="59"/>
      <c r="I14" s="18"/>
    </row>
    <row r="15" spans="1:9" ht="24.75" customHeight="1" x14ac:dyDescent="0.25">
      <c r="A15" s="9" t="s">
        <v>26</v>
      </c>
      <c r="B15" s="57"/>
      <c r="C15" s="58"/>
      <c r="D15" s="58"/>
      <c r="E15" s="15"/>
      <c r="F15" s="17"/>
      <c r="G15" s="59"/>
      <c r="H15" s="59"/>
      <c r="I15" s="18"/>
    </row>
    <row r="16" spans="1:9" ht="24.75" customHeight="1" x14ac:dyDescent="0.25">
      <c r="A16" s="9" t="s">
        <v>26</v>
      </c>
      <c r="B16" s="57"/>
      <c r="C16" s="58"/>
      <c r="D16" s="58"/>
      <c r="E16" s="15"/>
      <c r="F16" s="17"/>
      <c r="G16" s="59"/>
      <c r="H16" s="59"/>
      <c r="I16" s="18"/>
    </row>
    <row r="17" spans="1:15" ht="24.75" customHeight="1" x14ac:dyDescent="0.25">
      <c r="A17" s="9"/>
      <c r="B17" s="57"/>
      <c r="C17" s="58"/>
      <c r="D17" s="58"/>
      <c r="E17" s="15"/>
      <c r="F17" s="17"/>
      <c r="G17" s="59"/>
      <c r="H17" s="59"/>
      <c r="I17" s="18"/>
    </row>
    <row r="18" spans="1:15" ht="25.5" customHeight="1" x14ac:dyDescent="0.25">
      <c r="A18" s="9"/>
      <c r="B18" s="57"/>
      <c r="C18" s="58"/>
      <c r="D18" s="58"/>
      <c r="E18" s="15"/>
      <c r="F18" s="17"/>
      <c r="G18" s="59"/>
      <c r="H18" s="59"/>
      <c r="I18" s="18"/>
    </row>
    <row r="19" spans="1:15" ht="25.5" customHeight="1" x14ac:dyDescent="0.25">
      <c r="A19" s="9"/>
      <c r="B19" s="57"/>
      <c r="C19" s="58"/>
      <c r="D19" s="58"/>
      <c r="E19" s="15"/>
      <c r="F19" s="17"/>
      <c r="G19" s="59"/>
      <c r="H19" s="59"/>
      <c r="I19" s="18"/>
    </row>
    <row r="20" spans="1:15" ht="25.5" customHeight="1" x14ac:dyDescent="0.25">
      <c r="A20" s="9" t="s">
        <v>26</v>
      </c>
      <c r="B20" s="44" t="s">
        <v>26</v>
      </c>
      <c r="C20" s="44" t="s">
        <v>1</v>
      </c>
      <c r="D20" s="44" t="s">
        <v>1</v>
      </c>
      <c r="E20" s="10" t="s">
        <v>26</v>
      </c>
      <c r="F20" s="10" t="s">
        <v>26</v>
      </c>
      <c r="G20" s="44" t="s">
        <v>26</v>
      </c>
      <c r="H20" s="44" t="s">
        <v>1</v>
      </c>
      <c r="I20" s="11" t="s">
        <v>26</v>
      </c>
    </row>
    <row r="21" spans="1:15" ht="24.75" customHeight="1" x14ac:dyDescent="0.25">
      <c r="A21" s="9" t="s">
        <v>26</v>
      </c>
      <c r="B21" s="44" t="s">
        <v>26</v>
      </c>
      <c r="C21" s="44" t="s">
        <v>1</v>
      </c>
      <c r="D21" s="44" t="s">
        <v>1</v>
      </c>
      <c r="E21" s="10" t="s">
        <v>26</v>
      </c>
      <c r="F21" s="10" t="s">
        <v>26</v>
      </c>
      <c r="G21" s="44" t="s">
        <v>26</v>
      </c>
      <c r="H21" s="44" t="s">
        <v>1</v>
      </c>
      <c r="I21" s="11" t="s">
        <v>26</v>
      </c>
    </row>
    <row r="22" spans="1:15" ht="24.75" customHeight="1" x14ac:dyDescent="0.25">
      <c r="A22" s="9" t="s">
        <v>26</v>
      </c>
      <c r="B22" s="44" t="s">
        <v>26</v>
      </c>
      <c r="C22" s="44" t="s">
        <v>1</v>
      </c>
      <c r="D22" s="44" t="s">
        <v>1</v>
      </c>
      <c r="E22" s="10" t="s">
        <v>26</v>
      </c>
      <c r="F22" s="10" t="s">
        <v>26</v>
      </c>
      <c r="G22" s="44" t="s">
        <v>26</v>
      </c>
      <c r="H22" s="44" t="s">
        <v>1</v>
      </c>
      <c r="I22" s="11" t="s">
        <v>26</v>
      </c>
    </row>
    <row r="23" spans="1:15" ht="24.75" customHeight="1" x14ac:dyDescent="0.25">
      <c r="A23" s="9" t="s">
        <v>26</v>
      </c>
      <c r="B23" s="44" t="s">
        <v>26</v>
      </c>
      <c r="C23" s="44" t="s">
        <v>1</v>
      </c>
      <c r="D23" s="44" t="s">
        <v>1</v>
      </c>
      <c r="E23" s="10" t="s">
        <v>26</v>
      </c>
      <c r="F23" s="10" t="s">
        <v>26</v>
      </c>
      <c r="G23" s="44" t="s">
        <v>26</v>
      </c>
      <c r="H23" s="44" t="s">
        <v>1</v>
      </c>
      <c r="I23" s="11" t="s">
        <v>26</v>
      </c>
    </row>
    <row r="24" spans="1:15" ht="25.5" customHeight="1" x14ac:dyDescent="0.25">
      <c r="A24" s="9" t="s">
        <v>26</v>
      </c>
      <c r="B24" s="44" t="s">
        <v>26</v>
      </c>
      <c r="C24" s="44" t="s">
        <v>1</v>
      </c>
      <c r="D24" s="44" t="s">
        <v>1</v>
      </c>
      <c r="E24" s="10" t="s">
        <v>26</v>
      </c>
      <c r="F24" s="10" t="s">
        <v>26</v>
      </c>
      <c r="G24" s="44" t="s">
        <v>26</v>
      </c>
      <c r="H24" s="44" t="s">
        <v>1</v>
      </c>
      <c r="I24" s="11" t="s">
        <v>26</v>
      </c>
    </row>
    <row r="25" spans="1:15" ht="24.75" customHeight="1" thickBot="1" x14ac:dyDescent="0.3">
      <c r="A25" s="12" t="s">
        <v>26</v>
      </c>
      <c r="B25" s="54" t="s">
        <v>26</v>
      </c>
      <c r="C25" s="54" t="s">
        <v>1</v>
      </c>
      <c r="D25" s="54" t="s">
        <v>1</v>
      </c>
      <c r="E25" s="13" t="s">
        <v>26</v>
      </c>
      <c r="F25" s="13" t="s">
        <v>26</v>
      </c>
      <c r="G25" s="54" t="s">
        <v>26</v>
      </c>
      <c r="H25" s="54" t="s">
        <v>1</v>
      </c>
      <c r="I25" s="14" t="s">
        <v>26</v>
      </c>
    </row>
    <row r="26" spans="1:15" ht="30" customHeight="1" thickTop="1" thickBot="1" x14ac:dyDescent="0.3">
      <c r="A26" s="55" t="s">
        <v>27</v>
      </c>
      <c r="B26" s="55" t="s">
        <v>1</v>
      </c>
      <c r="C26" s="55" t="s">
        <v>1</v>
      </c>
      <c r="D26" s="55" t="s">
        <v>1</v>
      </c>
      <c r="E26" s="55" t="s">
        <v>1</v>
      </c>
      <c r="F26" s="76">
        <f>SUM(G10:H17)+SUM(I10:I17)</f>
        <v>9075000</v>
      </c>
      <c r="G26" s="77" t="s">
        <v>1</v>
      </c>
      <c r="H26" s="77" t="s">
        <v>1</v>
      </c>
      <c r="I26" s="77" t="s">
        <v>1</v>
      </c>
    </row>
    <row r="27" spans="1:15" ht="39.75" customHeight="1" thickTop="1" thickBot="1" x14ac:dyDescent="0.3">
      <c r="A27" s="51" t="s">
        <v>29</v>
      </c>
      <c r="B27" s="51" t="s">
        <v>1</v>
      </c>
      <c r="C27" s="74" t="s">
        <v>39</v>
      </c>
      <c r="D27" s="75" t="s">
        <v>1</v>
      </c>
      <c r="E27" s="75" t="s">
        <v>1</v>
      </c>
      <c r="F27" s="53" t="s">
        <v>30</v>
      </c>
      <c r="G27" s="53" t="s">
        <v>1</v>
      </c>
      <c r="H27" s="53" t="s">
        <v>1</v>
      </c>
      <c r="I27" s="53" t="s">
        <v>1</v>
      </c>
      <c r="O27" s="21" t="s">
        <v>44</v>
      </c>
    </row>
  </sheetData>
  <mergeCells count="55">
    <mergeCell ref="B22:D22"/>
    <mergeCell ref="G22:H22"/>
    <mergeCell ref="G15:H15"/>
    <mergeCell ref="B15:D15"/>
    <mergeCell ref="G21:H21"/>
    <mergeCell ref="B21:D21"/>
    <mergeCell ref="B17:D17"/>
    <mergeCell ref="G17:H17"/>
    <mergeCell ref="G16:H16"/>
    <mergeCell ref="B18:D18"/>
    <mergeCell ref="G18:H18"/>
    <mergeCell ref="B19:D19"/>
    <mergeCell ref="G19:H19"/>
    <mergeCell ref="G14:H14"/>
    <mergeCell ref="A27:B27"/>
    <mergeCell ref="C27:E27"/>
    <mergeCell ref="F27:I27"/>
    <mergeCell ref="B24:D24"/>
    <mergeCell ref="G24:H24"/>
    <mergeCell ref="B25:D25"/>
    <mergeCell ref="G25:H25"/>
    <mergeCell ref="A26:E26"/>
    <mergeCell ref="F26:I26"/>
    <mergeCell ref="B23:D23"/>
    <mergeCell ref="G23:H23"/>
    <mergeCell ref="B20:D20"/>
    <mergeCell ref="G20:H20"/>
    <mergeCell ref="B16:D16"/>
    <mergeCell ref="B14:D14"/>
    <mergeCell ref="A4:C5"/>
    <mergeCell ref="E4:F4"/>
    <mergeCell ref="H4:I4"/>
    <mergeCell ref="E5:I5"/>
    <mergeCell ref="H6:I6"/>
    <mergeCell ref="A1:B1"/>
    <mergeCell ref="D1:I1"/>
    <mergeCell ref="A2:C3"/>
    <mergeCell ref="D2:I2"/>
    <mergeCell ref="E3:I3"/>
    <mergeCell ref="H7:I7"/>
    <mergeCell ref="B9:D9"/>
    <mergeCell ref="G9:H9"/>
    <mergeCell ref="A6:C7"/>
    <mergeCell ref="E6:F6"/>
    <mergeCell ref="E7:F7"/>
    <mergeCell ref="G10:H10"/>
    <mergeCell ref="G8:I8"/>
    <mergeCell ref="A8:C8"/>
    <mergeCell ref="D8:F8"/>
    <mergeCell ref="B10:D10"/>
    <mergeCell ref="B13:D13"/>
    <mergeCell ref="G13:H13"/>
    <mergeCell ref="B12:D12"/>
    <mergeCell ref="G12:H12"/>
    <mergeCell ref="A11:I11"/>
  </mergeCells>
  <phoneticPr fontId="9" type="noConversion"/>
  <pageMargins left="0.7" right="0.7" top="0.75" bottom="0.75" header="0.3" footer="0.3"/>
  <pageSetup paperSize="9" scale="9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공급자</vt:lpstr>
      <vt:lpstr>공급받는자</vt:lpstr>
      <vt:lpstr>Sheet2</vt:lpstr>
      <vt:lpstr>공급받는자!Print_Area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영 고</cp:lastModifiedBy>
  <cp:lastPrinted>2025-05-20T02:45:18Z</cp:lastPrinted>
  <dcterms:created xsi:type="dcterms:W3CDTF">2022-04-19T14:21:35Z</dcterms:created>
  <dcterms:modified xsi:type="dcterms:W3CDTF">2025-05-20T02:46:26Z</dcterms:modified>
</cp:coreProperties>
</file>